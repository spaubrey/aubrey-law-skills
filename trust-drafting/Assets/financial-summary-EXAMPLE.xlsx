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EB76807-A172-4D18-9850-50BCB78B1D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ial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1" l="1"/>
  <c r="G64" i="1"/>
  <c r="F64" i="1"/>
  <c r="E64" i="1"/>
  <c r="D64" i="1"/>
  <c r="C64" i="1"/>
  <c r="B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1" i="1"/>
  <c r="H40" i="1"/>
  <c r="H34" i="1"/>
  <c r="H33" i="1"/>
  <c r="H27" i="1"/>
  <c r="H26" i="1"/>
  <c r="H20" i="1"/>
  <c r="H19" i="1"/>
  <c r="H18" i="1"/>
  <c r="H17" i="1"/>
  <c r="H16" i="1"/>
  <c r="H15" i="1"/>
  <c r="H14" i="1"/>
  <c r="H13" i="1"/>
  <c r="H12" i="1"/>
  <c r="H6" i="1"/>
  <c r="H5" i="1"/>
</calcChain>
</file>

<file path=xl/sharedStrings.xml><?xml version="1.0" encoding="utf-8"?>
<sst xmlns="http://schemas.openxmlformats.org/spreadsheetml/2006/main" count="173" uniqueCount="61">
  <si>
    <t>Exported</t>
  </si>
  <si>
    <t>10/2/2025</t>
  </si>
  <si>
    <t>Real Estate</t>
  </si>
  <si>
    <t>Type</t>
  </si>
  <si>
    <t>Address</t>
  </si>
  <si>
    <t>Owner</t>
  </si>
  <si>
    <t/>
  </si>
  <si>
    <t>Estimated Value</t>
  </si>
  <si>
    <t>Mortgage Balance</t>
  </si>
  <si>
    <t>Net</t>
  </si>
  <si>
    <t>Primary Residence</t>
  </si>
  <si>
    <t>106 Selwyn Road, Newton, Massachusetts 02461, USA</t>
  </si>
  <si>
    <t>both</t>
  </si>
  <si>
    <t>Residential</t>
  </si>
  <si>
    <t>5 Hampshire Drive, Natick, Massachusetts, USA</t>
  </si>
  <si>
    <t>primary</t>
  </si>
  <si>
    <t>Bank Accounts</t>
  </si>
  <si>
    <t>Bank</t>
  </si>
  <si>
    <t>Account Number</t>
  </si>
  <si>
    <t>Beneficiaries</t>
  </si>
  <si>
    <t>Balance</t>
  </si>
  <si>
    <t>Citizens Bank</t>
  </si>
  <si>
    <t>Checking</t>
  </si>
  <si>
    <t>joint</t>
  </si>
  <si>
    <t>Nicole Woo, Kayla Woo</t>
  </si>
  <si>
    <t>Certificate of Deposit</t>
  </si>
  <si>
    <t>Santander Bank</t>
  </si>
  <si>
    <t>Middlesex Savings</t>
  </si>
  <si>
    <t>spouse</t>
  </si>
  <si>
    <t>Middlesex Savings Bank</t>
  </si>
  <si>
    <t>Capital One</t>
  </si>
  <si>
    <t>Savings</t>
  </si>
  <si>
    <t>Bank of America</t>
  </si>
  <si>
    <t>Retirement Accounts</t>
  </si>
  <si>
    <t>Santander</t>
  </si>
  <si>
    <t>401(k)</t>
  </si>
  <si>
    <t>Brian, Amy</t>
  </si>
  <si>
    <t>Amy, Brian</t>
  </si>
  <si>
    <t>Stock, Bonds, Brokerage Accounts</t>
  </si>
  <si>
    <t>Description</t>
  </si>
  <si>
    <t>Life Insurance</t>
  </si>
  <si>
    <t>Category Totals</t>
  </si>
  <si>
    <t>Category</t>
  </si>
  <si>
    <t>Primary</t>
  </si>
  <si>
    <t>Spouse</t>
  </si>
  <si>
    <t>Joint</t>
  </si>
  <si>
    <t>(other)</t>
  </si>
  <si>
    <t>Credit</t>
  </si>
  <si>
    <t>Debit</t>
  </si>
  <si>
    <t>Custodial Accounts</t>
  </si>
  <si>
    <t>Annuities</t>
  </si>
  <si>
    <t>Cryptocurrencies</t>
  </si>
  <si>
    <t>Household &amp; Tangible Personal Property</t>
  </si>
  <si>
    <t>Anticipated Inheritance, Gift or Judgment</t>
  </si>
  <si>
    <t>Loan Receivable to You</t>
  </si>
  <si>
    <t>Liabilities / Money You Owe</t>
  </si>
  <si>
    <t>Other Assets</t>
  </si>
  <si>
    <t>Business You Own</t>
  </si>
  <si>
    <t>Vehicles and Other Titled Moving Property</t>
  </si>
  <si>
    <t>Safe Deposit Box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</si>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</sst>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8F8F8"/>
      </patternFill>
    </fill>
    <fill>
      <patternFill patternType="solid">
        <fgColor rgb="FF2F72D0"/>
      </patternFill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E0E0E0"/>
      </bottom>
      <diagonal/>
    </border>
    <border>
      <left/>
      <right/>
      <top style="double">
        <color rgb="FFD0D0D0"/>
      </top>
      <bottom style="double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0" fillId="0" borderId="0" xfId="0" applyNumberFormat="1" applyAlignment="1">
      <alignment horizontal="right"/>
    </xf>
    <xf numFmtId="0" fontId="4" fillId="4" borderId="0" xfId="0" applyFont="1" applyFill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0" fillId="0" borderId="3" xfId="0" applyBorder="1"/>
    <xf numFmtId="164" fontId="0" fillId="0" borderId="3" xfId="0" applyNumberForma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164" fontId="2" fillId="5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/>
  </sheetViews>
  <sheetFormatPr defaultRowHeight="15" x14ac:dyDescent="0.25"/>
  <cols>
    <col min="1" max="1" width="30" customWidth="1"/>
    <col min="2" max="2" width="37.42578125" customWidth="1"/>
    <col min="3" max="5" width="15" customWidth="1"/>
    <col min="6" max="8" width="18" customWidth="1"/>
  </cols>
  <sheetData>
    <row r="1" spans="1:8" s="1" customFormat="1" x14ac:dyDescent="0.25">
      <c r="A1" s="1" t="s">
        <v>0</v>
      </c>
      <c r="B1" s="1" t="s">
        <v>1</v>
      </c>
    </row>
    <row r="3" spans="1:8" s="2" customFormat="1" ht="24.95" customHeight="1" x14ac:dyDescent="0.25">
      <c r="A3" s="2" t="s">
        <v>2</v>
      </c>
    </row>
    <row r="4" spans="1:8" s="3" customFormat="1" ht="20.100000000000001" customHeight="1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t="s">
        <v>10</v>
      </c>
      <c r="B5" t="s">
        <v>11</v>
      </c>
      <c r="C5" t="s">
        <v>12</v>
      </c>
      <c r="D5" t="s">
        <v>6</v>
      </c>
      <c r="E5" t="s">
        <v>6</v>
      </c>
      <c r="F5" s="4">
        <v>1300000</v>
      </c>
      <c r="G5" s="4">
        <v>230000</v>
      </c>
      <c r="H5" s="4">
        <f>IFERROR(IF(ISNUMBER(F5),F5,0)-IF(ISNUMBER(G5),G5,0),0)</f>
        <v>1070000</v>
      </c>
    </row>
    <row r="6" spans="1:8" x14ac:dyDescent="0.25">
      <c r="A6" t="s">
        <v>13</v>
      </c>
      <c r="B6" t="s">
        <v>14</v>
      </c>
      <c r="C6" t="s">
        <v>15</v>
      </c>
      <c r="D6" t="s">
        <v>6</v>
      </c>
      <c r="E6" t="s">
        <v>6</v>
      </c>
      <c r="F6" s="4">
        <v>750000</v>
      </c>
      <c r="G6" s="4">
        <v>0</v>
      </c>
      <c r="H6" s="4">
        <f>IFERROR(IF(ISNUMBER(F6),F6,0)-IF(ISNUMBER(G6),G6,0),0)</f>
        <v>750000</v>
      </c>
    </row>
    <row r="10" spans="1:8" s="2" customFormat="1" ht="24.95" customHeight="1" x14ac:dyDescent="0.25">
      <c r="A10" s="2" t="s">
        <v>16</v>
      </c>
    </row>
    <row r="11" spans="1:8" s="3" customFormat="1" ht="20.100000000000001" customHeight="1" x14ac:dyDescent="0.25">
      <c r="A11" s="3" t="s">
        <v>17</v>
      </c>
      <c r="B11" s="3" t="s">
        <v>3</v>
      </c>
      <c r="C11" s="3" t="s">
        <v>5</v>
      </c>
      <c r="D11" s="3" t="s">
        <v>18</v>
      </c>
      <c r="E11" s="3" t="s">
        <v>19</v>
      </c>
      <c r="F11" s="3" t="s">
        <v>20</v>
      </c>
      <c r="G11" s="3" t="s">
        <v>6</v>
      </c>
      <c r="H11" s="3" t="s">
        <v>9</v>
      </c>
    </row>
    <row r="12" spans="1:8" x14ac:dyDescent="0.25">
      <c r="A12" t="s">
        <v>21</v>
      </c>
      <c r="B12" t="s">
        <v>22</v>
      </c>
      <c r="C12" t="s">
        <v>23</v>
      </c>
      <c r="D12" t="s">
        <v>6</v>
      </c>
      <c r="E12" t="s">
        <v>24</v>
      </c>
      <c r="F12" s="4">
        <v>80000</v>
      </c>
      <c r="G12" s="4" t="s">
        <v>6</v>
      </c>
      <c r="H12" s="4">
        <f t="shared" ref="H12:H20" si="0">IFERROR(IF(ISNUMBER(F12),F12,0)-IF(ISNUMBER(G12),G12,0),0)</f>
        <v>80000</v>
      </c>
    </row>
    <row r="13" spans="1:8" x14ac:dyDescent="0.25">
      <c r="A13" t="s">
        <v>21</v>
      </c>
      <c r="B13" t="s">
        <v>25</v>
      </c>
      <c r="C13" t="s">
        <v>23</v>
      </c>
      <c r="D13" t="s">
        <v>6</v>
      </c>
      <c r="E13" t="s">
        <v>24</v>
      </c>
      <c r="F13" s="4">
        <v>125000</v>
      </c>
      <c r="G13" s="4" t="s">
        <v>6</v>
      </c>
      <c r="H13" s="4">
        <f t="shared" si="0"/>
        <v>125000</v>
      </c>
    </row>
    <row r="14" spans="1:8" x14ac:dyDescent="0.25">
      <c r="A14" t="s">
        <v>26</v>
      </c>
      <c r="B14" t="s">
        <v>22</v>
      </c>
      <c r="C14" t="s">
        <v>23</v>
      </c>
      <c r="D14" t="s">
        <v>6</v>
      </c>
      <c r="E14" t="s">
        <v>24</v>
      </c>
      <c r="F14" s="4">
        <v>50000</v>
      </c>
      <c r="G14" s="4" t="s">
        <v>6</v>
      </c>
      <c r="H14" s="4">
        <f t="shared" si="0"/>
        <v>50000</v>
      </c>
    </row>
    <row r="15" spans="1:8" x14ac:dyDescent="0.25">
      <c r="A15" t="s">
        <v>27</v>
      </c>
      <c r="B15" t="s">
        <v>25</v>
      </c>
      <c r="C15" t="s">
        <v>28</v>
      </c>
      <c r="D15" t="s">
        <v>6</v>
      </c>
      <c r="E15" t="s">
        <v>24</v>
      </c>
      <c r="F15" s="4">
        <v>65000</v>
      </c>
      <c r="G15" s="4" t="s">
        <v>6</v>
      </c>
      <c r="H15" s="4">
        <f t="shared" si="0"/>
        <v>65000</v>
      </c>
    </row>
    <row r="16" spans="1:8" x14ac:dyDescent="0.25">
      <c r="A16" t="s">
        <v>29</v>
      </c>
      <c r="B16" t="s">
        <v>25</v>
      </c>
      <c r="C16" t="s">
        <v>15</v>
      </c>
      <c r="D16" t="s">
        <v>6</v>
      </c>
      <c r="E16" t="s">
        <v>24</v>
      </c>
      <c r="F16" s="4">
        <v>31000</v>
      </c>
      <c r="G16" s="4" t="s">
        <v>6</v>
      </c>
      <c r="H16" s="4">
        <f t="shared" si="0"/>
        <v>31000</v>
      </c>
    </row>
    <row r="17" spans="1:8" x14ac:dyDescent="0.25">
      <c r="A17" t="s">
        <v>29</v>
      </c>
      <c r="B17" t="s">
        <v>25</v>
      </c>
      <c r="C17" t="s">
        <v>23</v>
      </c>
      <c r="D17" t="s">
        <v>6</v>
      </c>
      <c r="E17" t="s">
        <v>24</v>
      </c>
      <c r="F17" s="4">
        <v>109000</v>
      </c>
      <c r="G17" s="4" t="s">
        <v>6</v>
      </c>
      <c r="H17" s="4">
        <f t="shared" si="0"/>
        <v>109000</v>
      </c>
    </row>
    <row r="18" spans="1:8" x14ac:dyDescent="0.25">
      <c r="A18" t="s">
        <v>30</v>
      </c>
      <c r="B18" t="s">
        <v>31</v>
      </c>
      <c r="C18" t="s">
        <v>23</v>
      </c>
      <c r="D18" t="s">
        <v>6</v>
      </c>
      <c r="E18" t="s">
        <v>24</v>
      </c>
      <c r="F18" s="4">
        <v>87000</v>
      </c>
      <c r="G18" s="4" t="s">
        <v>6</v>
      </c>
      <c r="H18" s="4">
        <f t="shared" si="0"/>
        <v>87000</v>
      </c>
    </row>
    <row r="19" spans="1:8" x14ac:dyDescent="0.25">
      <c r="A19" t="s">
        <v>32</v>
      </c>
      <c r="B19" t="s">
        <v>31</v>
      </c>
      <c r="C19" t="s">
        <v>23</v>
      </c>
      <c r="D19" t="s">
        <v>6</v>
      </c>
      <c r="E19" t="s">
        <v>24</v>
      </c>
      <c r="F19" s="4">
        <v>50000</v>
      </c>
      <c r="G19" s="4" t="s">
        <v>6</v>
      </c>
      <c r="H19" s="4">
        <f t="shared" si="0"/>
        <v>50000</v>
      </c>
    </row>
    <row r="20" spans="1:8" x14ac:dyDescent="0.25">
      <c r="A20" t="s">
        <v>6</v>
      </c>
      <c r="B20" t="s">
        <v>6</v>
      </c>
      <c r="C20" t="s">
        <v>6</v>
      </c>
      <c r="D20" t="s">
        <v>6</v>
      </c>
      <c r="E20" t="s">
        <v>6</v>
      </c>
      <c r="F20" s="4">
        <v>0</v>
      </c>
      <c r="G20" s="4" t="s">
        <v>6</v>
      </c>
      <c r="H20" s="4">
        <f t="shared" si="0"/>
        <v>0</v>
      </c>
    </row>
    <row r="24" spans="1:8" s="2" customFormat="1" ht="24.95" customHeight="1" x14ac:dyDescent="0.25">
      <c r="A24" s="2" t="s">
        <v>33</v>
      </c>
    </row>
    <row r="25" spans="1:8" s="3" customFormat="1" ht="20.100000000000001" customHeight="1" x14ac:dyDescent="0.25">
      <c r="A25" s="3" t="s">
        <v>17</v>
      </c>
      <c r="B25" s="3" t="s">
        <v>3</v>
      </c>
      <c r="C25" s="3" t="s">
        <v>5</v>
      </c>
      <c r="D25" s="3" t="s">
        <v>18</v>
      </c>
      <c r="E25" s="3" t="s">
        <v>19</v>
      </c>
      <c r="F25" s="3" t="s">
        <v>20</v>
      </c>
      <c r="G25" s="3" t="s">
        <v>6</v>
      </c>
      <c r="H25" s="3" t="s">
        <v>9</v>
      </c>
    </row>
    <row r="26" spans="1:8" x14ac:dyDescent="0.25">
      <c r="A26" t="s">
        <v>34</v>
      </c>
      <c r="B26" t="s">
        <v>35</v>
      </c>
      <c r="C26" t="s">
        <v>15</v>
      </c>
      <c r="D26" t="s">
        <v>6</v>
      </c>
      <c r="E26" t="s">
        <v>36</v>
      </c>
      <c r="F26" s="4">
        <v>293000</v>
      </c>
      <c r="G26" s="4" t="s">
        <v>6</v>
      </c>
      <c r="H26" s="4">
        <f>IFERROR(IF(ISNUMBER(F26),F26,0)-IF(ISNUMBER(G26),G26,0),0)</f>
        <v>293000</v>
      </c>
    </row>
    <row r="27" spans="1:8" x14ac:dyDescent="0.25">
      <c r="A27" t="s">
        <v>32</v>
      </c>
      <c r="B27" t="s">
        <v>35</v>
      </c>
      <c r="C27" t="s">
        <v>28</v>
      </c>
      <c r="D27" t="s">
        <v>6</v>
      </c>
      <c r="E27" t="s">
        <v>37</v>
      </c>
      <c r="F27" s="4">
        <v>1000000</v>
      </c>
      <c r="G27" s="4" t="s">
        <v>6</v>
      </c>
      <c r="H27" s="4">
        <f>IFERROR(IF(ISNUMBER(F27),F27,0)-IF(ISNUMBER(G27),G27,0),0)</f>
        <v>1000000</v>
      </c>
    </row>
    <row r="31" spans="1:8" s="2" customFormat="1" ht="24.95" customHeight="1" x14ac:dyDescent="0.25">
      <c r="A31" s="2" t="s">
        <v>38</v>
      </c>
    </row>
    <row r="32" spans="1:8" s="3" customFormat="1" ht="20.100000000000001" customHeight="1" x14ac:dyDescent="0.25">
      <c r="A32" s="3" t="s">
        <v>6</v>
      </c>
      <c r="B32" s="3" t="s">
        <v>6</v>
      </c>
      <c r="C32" s="3" t="s">
        <v>5</v>
      </c>
      <c r="D32" s="3" t="s">
        <v>39</v>
      </c>
      <c r="E32" s="3" t="s">
        <v>6</v>
      </c>
      <c r="F32" s="3" t="s">
        <v>7</v>
      </c>
      <c r="G32" s="3" t="s">
        <v>6</v>
      </c>
      <c r="H32" s="3" t="s">
        <v>9</v>
      </c>
    </row>
    <row r="33" spans="1:8" x14ac:dyDescent="0.25">
      <c r="A33" t="s">
        <v>6</v>
      </c>
      <c r="B33" t="s">
        <v>6</v>
      </c>
      <c r="C33" t="s">
        <v>15</v>
      </c>
      <c r="D33" t="s">
        <v>6</v>
      </c>
      <c r="E33" t="s">
        <v>6</v>
      </c>
      <c r="F33" s="4">
        <v>3900000</v>
      </c>
      <c r="G33" s="4" t="s">
        <v>6</v>
      </c>
      <c r="H33" s="4">
        <f>IFERROR(IF(ISNUMBER(F33),F33,0)-IF(ISNUMBER(G33),G33,0),0)</f>
        <v>3900000</v>
      </c>
    </row>
    <row r="34" spans="1:8" x14ac:dyDescent="0.25">
      <c r="A34" t="s">
        <v>6</v>
      </c>
      <c r="B34" t="s">
        <v>6</v>
      </c>
      <c r="C34" t="s">
        <v>15</v>
      </c>
      <c r="D34" t="s">
        <v>6</v>
      </c>
      <c r="E34" t="s">
        <v>6</v>
      </c>
      <c r="F34" s="4">
        <v>940000</v>
      </c>
      <c r="G34" s="4" t="s">
        <v>6</v>
      </c>
      <c r="H34" s="4">
        <f>IFERROR(IF(ISNUMBER(F34),F34,0)-IF(ISNUMBER(G34),G34,0),0)</f>
        <v>940000</v>
      </c>
    </row>
    <row r="38" spans="1:8" s="2" customFormat="1" ht="24.95" customHeight="1" x14ac:dyDescent="0.25">
      <c r="A38" s="2" t="s">
        <v>40</v>
      </c>
    </row>
    <row r="39" spans="1:8" s="3" customFormat="1" ht="20.100000000000001" customHeight="1" x14ac:dyDescent="0.25">
      <c r="A39" s="3" t="s">
        <v>6</v>
      </c>
      <c r="B39" s="3" t="s">
        <v>6</v>
      </c>
      <c r="C39" s="3" t="s">
        <v>5</v>
      </c>
      <c r="D39" s="3" t="s">
        <v>39</v>
      </c>
      <c r="E39" s="3" t="s">
        <v>6</v>
      </c>
      <c r="F39" s="3" t="s">
        <v>7</v>
      </c>
      <c r="G39" s="3" t="s">
        <v>6</v>
      </c>
      <c r="H39" s="3" t="s">
        <v>9</v>
      </c>
    </row>
    <row r="40" spans="1:8" x14ac:dyDescent="0.25">
      <c r="A40" t="s">
        <v>6</v>
      </c>
      <c r="B40" t="s">
        <v>6</v>
      </c>
      <c r="C40" t="s">
        <v>15</v>
      </c>
      <c r="D40" t="s">
        <v>6</v>
      </c>
      <c r="E40" t="s">
        <v>6</v>
      </c>
      <c r="F40" s="4">
        <v>700000</v>
      </c>
      <c r="G40" s="4" t="s">
        <v>6</v>
      </c>
      <c r="H40" s="4">
        <f>IFERROR(IF(ISNUMBER(F40),F40,0)-IF(ISNUMBER(G40),G40,0),0)</f>
        <v>700000</v>
      </c>
    </row>
    <row r="41" spans="1:8" x14ac:dyDescent="0.25">
      <c r="A41" t="s">
        <v>6</v>
      </c>
      <c r="B41" t="s">
        <v>6</v>
      </c>
      <c r="C41" t="s">
        <v>28</v>
      </c>
      <c r="D41" t="s">
        <v>6</v>
      </c>
      <c r="E41" t="s">
        <v>6</v>
      </c>
      <c r="F41" s="4">
        <v>1000000</v>
      </c>
      <c r="G41" s="4" t="s">
        <v>6</v>
      </c>
      <c r="H41" s="4">
        <f>IFERROR(IF(ISNUMBER(F41),F41,0)-IF(ISNUMBER(G41),G41,0),0)</f>
        <v>1000000</v>
      </c>
    </row>
    <row r="46" spans="1:8" s="5" customFormat="1" ht="30" customHeight="1" x14ac:dyDescent="0.25">
      <c r="A46" s="5" t="s">
        <v>41</v>
      </c>
    </row>
    <row r="47" spans="1:8" ht="20.100000000000001" customHeight="1" x14ac:dyDescent="0.25">
      <c r="A47" s="6" t="s">
        <v>42</v>
      </c>
      <c r="B47" s="6" t="s">
        <v>43</v>
      </c>
      <c r="C47" s="6" t="s">
        <v>44</v>
      </c>
      <c r="D47" s="6" t="s">
        <v>45</v>
      </c>
      <c r="E47" s="6" t="s">
        <v>46</v>
      </c>
      <c r="F47" s="6" t="s">
        <v>47</v>
      </c>
      <c r="G47" s="6" t="s">
        <v>48</v>
      </c>
      <c r="H47" s="6" t="s">
        <v>9</v>
      </c>
    </row>
    <row r="48" spans="1:8" ht="15.95" customHeight="1" x14ac:dyDescent="0.25">
      <c r="A48" s="7" t="s">
        <v>2</v>
      </c>
      <c r="B48" s="8">
        <v>750000</v>
      </c>
      <c r="C48" s="8">
        <v>0</v>
      </c>
      <c r="D48" s="8">
        <v>0</v>
      </c>
      <c r="E48" s="8">
        <v>1070000</v>
      </c>
      <c r="F48" s="8">
        <v>2050000</v>
      </c>
      <c r="G48" s="8">
        <v>230000</v>
      </c>
      <c r="H48" s="8">
        <f t="shared" ref="H48:H64" si="1">F48-G48</f>
        <v>1820000</v>
      </c>
    </row>
    <row r="49" spans="1:8" ht="15.95" customHeight="1" x14ac:dyDescent="0.25">
      <c r="A49" s="7" t="s">
        <v>16</v>
      </c>
      <c r="B49" s="8">
        <v>31000</v>
      </c>
      <c r="C49" s="8">
        <v>65000</v>
      </c>
      <c r="D49" s="8">
        <v>501000</v>
      </c>
      <c r="E49" s="8">
        <v>0</v>
      </c>
      <c r="F49" s="8">
        <v>597000</v>
      </c>
      <c r="G49" s="8">
        <v>0</v>
      </c>
      <c r="H49" s="8">
        <f t="shared" si="1"/>
        <v>597000</v>
      </c>
    </row>
    <row r="50" spans="1:8" ht="15.95" customHeight="1" x14ac:dyDescent="0.25">
      <c r="A50" s="7" t="s">
        <v>33</v>
      </c>
      <c r="B50" s="8">
        <v>293000</v>
      </c>
      <c r="C50" s="8">
        <v>1000000</v>
      </c>
      <c r="D50" s="8">
        <v>0</v>
      </c>
      <c r="E50" s="8">
        <v>0</v>
      </c>
      <c r="F50" s="8">
        <v>1293000</v>
      </c>
      <c r="G50" s="8">
        <v>0</v>
      </c>
      <c r="H50" s="8">
        <f t="shared" si="1"/>
        <v>1293000</v>
      </c>
    </row>
    <row r="51" spans="1:8" ht="15.95" customHeight="1" x14ac:dyDescent="0.25">
      <c r="A51" s="7" t="s">
        <v>38</v>
      </c>
      <c r="B51" s="8">
        <v>4840000</v>
      </c>
      <c r="C51" s="8">
        <v>0</v>
      </c>
      <c r="D51" s="8">
        <v>0</v>
      </c>
      <c r="E51" s="8">
        <v>0</v>
      </c>
      <c r="F51" s="8">
        <v>4840000</v>
      </c>
      <c r="G51" s="8">
        <v>0</v>
      </c>
      <c r="H51" s="8">
        <f t="shared" si="1"/>
        <v>4840000</v>
      </c>
    </row>
    <row r="52" spans="1:8" ht="15.95" customHeight="1" x14ac:dyDescent="0.25">
      <c r="A52" s="7" t="s">
        <v>49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f t="shared" si="1"/>
        <v>0</v>
      </c>
    </row>
    <row r="53" spans="1:8" ht="15.95" customHeight="1" x14ac:dyDescent="0.25">
      <c r="A53" s="7" t="s">
        <v>50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f t="shared" si="1"/>
        <v>0</v>
      </c>
    </row>
    <row r="54" spans="1:8" ht="15.95" customHeight="1" x14ac:dyDescent="0.25">
      <c r="A54" s="7" t="s">
        <v>51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f t="shared" si="1"/>
        <v>0</v>
      </c>
    </row>
    <row r="55" spans="1:8" ht="15.95" customHeight="1" x14ac:dyDescent="0.25">
      <c r="A55" s="7" t="s">
        <v>52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f t="shared" si="1"/>
        <v>0</v>
      </c>
    </row>
    <row r="56" spans="1:8" ht="15.95" customHeight="1" x14ac:dyDescent="0.25">
      <c r="A56" s="7" t="s">
        <v>53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f t="shared" si="1"/>
        <v>0</v>
      </c>
    </row>
    <row r="57" spans="1:8" ht="15.95" customHeight="1" x14ac:dyDescent="0.25">
      <c r="A57" s="7" t="s">
        <v>54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 t="shared" si="1"/>
        <v>0</v>
      </c>
    </row>
    <row r="58" spans="1:8" ht="15.95" customHeight="1" x14ac:dyDescent="0.25">
      <c r="A58" s="7" t="s">
        <v>55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 t="shared" si="1"/>
        <v>0</v>
      </c>
    </row>
    <row r="59" spans="1:8" ht="15.95" customHeight="1" x14ac:dyDescent="0.25">
      <c r="A59" s="7" t="s">
        <v>56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 t="shared" si="1"/>
        <v>0</v>
      </c>
    </row>
    <row r="60" spans="1:8" ht="15.95" customHeight="1" x14ac:dyDescent="0.25">
      <c r="A60" s="7" t="s">
        <v>40</v>
      </c>
      <c r="B60" s="8">
        <v>700000</v>
      </c>
      <c r="C60" s="8">
        <v>1000000</v>
      </c>
      <c r="D60" s="8">
        <v>0</v>
      </c>
      <c r="E60" s="8">
        <v>0</v>
      </c>
      <c r="F60" s="8">
        <v>1700000</v>
      </c>
      <c r="G60" s="8">
        <v>0</v>
      </c>
      <c r="H60" s="8">
        <f t="shared" si="1"/>
        <v>1700000</v>
      </c>
    </row>
    <row r="61" spans="1:8" ht="15.95" customHeight="1" x14ac:dyDescent="0.25">
      <c r="A61" s="7" t="s">
        <v>57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f t="shared" si="1"/>
        <v>0</v>
      </c>
    </row>
    <row r="62" spans="1:8" ht="15.95" customHeight="1" x14ac:dyDescent="0.25">
      <c r="A62" s="7" t="s">
        <v>58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f t="shared" si="1"/>
        <v>0</v>
      </c>
    </row>
    <row r="63" spans="1:8" ht="15.95" customHeight="1" x14ac:dyDescent="0.25">
      <c r="A63" s="7" t="s">
        <v>59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f t="shared" si="1"/>
        <v>0</v>
      </c>
    </row>
    <row r="64" spans="1:8" s="9" customFormat="1" ht="24.95" customHeight="1" x14ac:dyDescent="0.25">
      <c r="A64" s="10" t="s">
        <v>60</v>
      </c>
      <c r="B64" s="11">
        <f t="shared" ref="B64:G64" si="2">SUM(B48:B63)</f>
        <v>6614000</v>
      </c>
      <c r="C64" s="11">
        <f t="shared" si="2"/>
        <v>2065000</v>
      </c>
      <c r="D64" s="11">
        <f t="shared" si="2"/>
        <v>501000</v>
      </c>
      <c r="E64" s="11">
        <f t="shared" si="2"/>
        <v>1070000</v>
      </c>
      <c r="F64" s="11">
        <f t="shared" si="2"/>
        <v>10480000</v>
      </c>
      <c r="G64" s="11">
        <f t="shared" si="2"/>
        <v>230000</v>
      </c>
      <c r="H64" s="11">
        <f t="shared" si="1"/>
        <v>10250000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2025-10-02T23:01:33Z</dcterms:created>
  <dcterms:modified xsi:type="dcterms:W3CDTF">2026-04-02T20:19:46Z</dcterms:modified>
  <cp:category/>
</cp:coreProperties>
</file>